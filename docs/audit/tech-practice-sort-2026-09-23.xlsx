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evindooley/Claude/Projects/Supply chain innovation/docs/audit/"/>
    </mc:Choice>
  </mc:AlternateContent>
  <xr:revisionPtr revIDLastSave="0" documentId="13_ncr:1_{95A9BCFE-E0EA-924A-B9DD-85B99939E28C}" xr6:coauthVersionLast="47" xr6:coauthVersionMax="47" xr10:uidLastSave="{00000000-0000-0000-0000-000000000000}"/>
  <bookViews>
    <workbookView xWindow="0" yWindow="600" windowWidth="44800" windowHeight="23360" xr2:uid="{00000000-000D-0000-FFFF-FFFF00000000}"/>
  </bookViews>
  <sheets>
    <sheet name="Sort" sheetId="1" r:id="rId1"/>
    <sheet name="Summary" sheetId="2" r:id="rId2"/>
  </sheets>
  <definedNames>
    <definedName name="_xlnm._FilterDatabase" localSheetId="0" hidden="1">Sort!$A$1:$N$52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B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assistant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Rough share of relevant firms/sites using it today. Source: assistant knowledge plus MHI 2026 figures quoted in docs/KD project assessment 20260904.docx. Screen proposed by Kevin: &gt;~15% adoption = in-practice.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TRL 1-3 research; 4-6 prototype/pilot; 7-8 demonstrated in an operational environment; 9 proven in routine commercial operation. Assistant estimates from general knowledge as of 2026-09-23; NOT from the observatory database. Treat as priors to be confirmed.</t>
        </r>
      </text>
    </comment>
  </commentList>
</comments>
</file>

<file path=xl/sharedStrings.xml><?xml version="1.0" encoding="utf-8"?>
<sst xmlns="http://schemas.openxmlformats.org/spreadsheetml/2006/main" count="493" uniqueCount="228">
  <si>
    <t>id</t>
  </si>
  <si>
    <t>name</t>
  </si>
  <si>
    <t>family</t>
  </si>
  <si>
    <t>lexicon v10 status</t>
  </si>
  <si>
    <t>assistant call</t>
  </si>
  <si>
    <t>adoption guess (current, relevant firms)</t>
  </si>
  <si>
    <t>TRL point (assistant)</t>
  </si>
  <si>
    <t>TRL low</t>
  </si>
  <si>
    <t>TRL high</t>
  </si>
  <si>
    <t>confidence</t>
  </si>
  <si>
    <t>evidence / reasoning (assistant)</t>
  </si>
  <si>
    <t>Kevin: confirm? (Y/N)</t>
  </si>
  <si>
    <t>Kevin: your call</t>
  </si>
  <si>
    <t>Kevin: notes</t>
  </si>
  <si>
    <t>warehouse_robotics</t>
  </si>
  <si>
    <t>Warehouse robotics</t>
  </si>
  <si>
    <t>automation</t>
  </si>
  <si>
    <t>active</t>
  </si>
  <si>
    <t>in-practice</t>
  </si>
  <si>
    <t>30-40%</t>
  </si>
  <si>
    <t>H</t>
  </si>
  <si>
    <t>AMRs/AS-RS in commercial use at Amazon, DHL, GXO, Walmart since ~2015. MHI 2026: robotics &amp; automation adoption 2nd behind AI; 73% expect within 5 yrs.</t>
  </si>
  <si>
    <t>piece_picking</t>
  </si>
  <si>
    <t>Piece-picking robotics</t>
  </si>
  <si>
    <t>pre-practice</t>
  </si>
  <si>
    <t>&lt;10%</t>
  </si>
  <si>
    <t>M</t>
  </si>
  <si>
    <t>Commercial at a few sites (Amazon Sparrow, RightHand, Covariant/Amazon); most DCs still hand-pick. Operational but not diffused.</t>
  </si>
  <si>
    <t>humanoid_logistics</t>
  </si>
  <si>
    <t>General-purpose and humanoid robots in logistics</t>
  </si>
  <si>
    <t>&lt;1%</t>
  </si>
  <si>
    <t>Pilots only (Agility Digit at GXO, Figure at BMW). Kevin's own AI-platform note: 'very hot narrative, early operational reality'.</t>
  </si>
  <si>
    <t>autonomous_yard</t>
  </si>
  <si>
    <t>Autonomous yard trucks</t>
  </si>
  <si>
    <t>&lt;2%</t>
  </si>
  <si>
    <t>Outrider, Fernride at a handful of yards; no scaled rollouts.</t>
  </si>
  <si>
    <t>port_automation</t>
  </si>
  <si>
    <t>Port and terminal automation</t>
  </si>
  <si>
    <t>in-practice (borderline)</t>
  </si>
  <si>
    <t>US low / global high</t>
  </si>
  <si>
    <t>Proven since Rotterdam ECT 1993; US adoption blocked by labor agreements (LBCT, TraPac only). Technology in-practice; US adoption pre-15%. Decide by denominator.</t>
  </si>
  <si>
    <t>sidewalk_delivery_robots</t>
  </si>
  <si>
    <t>Last-mile delivery robots</t>
  </si>
  <si>
    <t>Starship campuses, Serve/Uber Eats LA. Commercial but tiny share.</t>
  </si>
  <si>
    <t>delivery_drones</t>
  </si>
  <si>
    <t>Delivery drones</t>
  </si>
  <si>
    <t>Zipline, Wing, Amazon MK30 operating; FAA BVLOS rule still the gate.</t>
  </si>
  <si>
    <t>robotic_manufacturing</t>
  </si>
  <si>
    <t>Robotic manufacturing cells</t>
  </si>
  <si>
    <t>&gt;50% (discrete mfg)</t>
  </si>
  <si>
    <t>Industrial robots since 1980s; ~5.5M installed globally (Deloitte, per Kevin's note). Not a pre-practice item.</t>
  </si>
  <si>
    <t>autonomous_trucking</t>
  </si>
  <si>
    <t>Autonomous trucking</t>
  </si>
  <si>
    <t>vehicles</t>
  </si>
  <si>
    <t>Aurora driverless runs in Texas 2025; Kodiak. Demonstrated in operating environment, not commercial scale.</t>
  </si>
  <si>
    <t>electric_trucks</t>
  </si>
  <si>
    <t>Electric heavy-duty trucks</t>
  </si>
  <si>
    <t>&lt;3% of Class 8 sales</t>
  </si>
  <si>
    <t>Proven vehicles (Tesla Semi, Volvo VNR, Freightliner eCascadia) but adoption tiny; CA drayage the only pocket.</t>
  </si>
  <si>
    <t>hydrogen_trucks</t>
  </si>
  <si>
    <t>Hydrogen fuel cell trucks</t>
  </si>
  <si>
    <t>&lt;0.1%</t>
  </si>
  <si>
    <t>Nikola bankrupt 2025; Hyundai Xcient small fleets. Demonstrator stage.</t>
  </si>
  <si>
    <t>freight_charging</t>
  </si>
  <si>
    <t>Freight EV charging infrastructure</t>
  </si>
  <si>
    <t>Corridor pilots (WattEV, Greenlane, TeraWatt). Infrastructure, co-moves with electric_trucks; consider merging.</t>
  </si>
  <si>
    <t>port_electrification</t>
  </si>
  <si>
    <t>Port electrification and shore power</t>
  </si>
  <si>
    <t>CA mandated; elsewhere low</t>
  </si>
  <si>
    <t>CARB at-berth rule since 2014; proven. Outside CA/EU rare. Regulation-driven; probably in-practice.</t>
  </si>
  <si>
    <t>erp</t>
  </si>
  <si>
    <t>ERP platforms</t>
  </si>
  <si>
    <t>enterprise</t>
  </si>
  <si>
    <t>&gt;80%</t>
  </si>
  <si>
    <t>Diffused since 1990s (Kevin's assessment 09-04). Retire from pre-practice tracker.</t>
  </si>
  <si>
    <t>wms</t>
  </si>
  <si>
    <t>Warehouse management systems</t>
  </si>
  <si>
    <t>&gt;60%</t>
  </si>
  <si>
    <t>Mature category since 1990s. Retire from pre-practice tracker.</t>
  </si>
  <si>
    <t>mes</t>
  </si>
  <si>
    <t>Manufacturing execution systems</t>
  </si>
  <si>
    <t>40-50% (discrete)</t>
  </si>
  <si>
    <t>Mature category (ISA-95, 2000). In-practice.</t>
  </si>
  <si>
    <t>sop_planning</t>
  </si>
  <si>
    <t>Sales and operations planning</t>
  </si>
  <si>
    <t>A process, not a technology; software mature. Retire.</t>
  </si>
  <si>
    <t>advanced_planning</t>
  </si>
  <si>
    <t>Advanced planning and scheduling</t>
  </si>
  <si>
    <t>30-50%</t>
  </si>
  <si>
    <t>APS since i2/Manugistics 1990s; Kinaxis, o9, Blue Yonder. In-practice.</t>
  </si>
  <si>
    <t>agentic_procurement</t>
  </si>
  <si>
    <t>Agentic AI for procurement</t>
  </si>
  <si>
    <t>digital</t>
  </si>
  <si>
    <t>&lt;5%</t>
  </si>
  <si>
    <t>Gartner 2026 #1 SC technology; pilots and vendor features (SAP Joule, Coupa). Not yet operational at scale.</t>
  </si>
  <si>
    <t>supply_chain_digital_twin</t>
  </si>
  <si>
    <t>Supply chain digital twins</t>
  </si>
  <si>
    <t>pre-practice (borderline)</t>
  </si>
  <si>
    <t>10-25% self-reported</t>
  </si>
  <si>
    <t>Definition loose; self-reported adoption overstates. Gartner reframes as 'intelligent simulation'. Rigorous definition = pre-practice.</t>
  </si>
  <si>
    <t>demand_forecasting_ml</t>
  </si>
  <si>
    <t>ML demand forecasting</t>
  </si>
  <si>
    <t>Standard in Blue Yonder, o9, SAP IBP, Amazon. In-practice; retire or narrow to foundation-model forecasting.</t>
  </si>
  <si>
    <t>control_tower</t>
  </si>
  <si>
    <t>Supply chain control towers</t>
  </si>
  <si>
    <t>Mature offering (project44, FourKites, Blue Yonder). Kevin's note: 'terminology aging'. In-practice.</t>
  </si>
  <si>
    <t>genai_planning</t>
  </si>
  <si>
    <t>Generative AI for supply chain planning</t>
  </si>
  <si>
    <t>5-15%</t>
  </si>
  <si>
    <t>Copilots shipped 2024-25 (o9, Kinaxis Maestro); MHI 2026 53% 'use AI' but planning-specific genAI use is emergent.</t>
  </si>
  <si>
    <t>tms_ai</t>
  </si>
  <si>
    <t>AI transportation management</t>
  </si>
  <si>
    <t>split</t>
  </si>
  <si>
    <t>TMS &gt;50%; AI-native &lt;10%</t>
  </si>
  <si>
    <t>TMS is in-practice; 'AI transportation management' is a feature layer. Split: TMS (in) vs AI-native TMS agents (pre).</t>
  </si>
  <si>
    <t>digital_freight</t>
  </si>
  <si>
    <t>Digital freight matching</t>
  </si>
  <si>
    <t>20-30% of spot</t>
  </si>
  <si>
    <t>Uber Freight, Loadsmart, DAT; Convoy failed 2023. Commercial for a decade. In-practice.</t>
  </si>
  <si>
    <t>vehicle_routing</t>
  </si>
  <si>
    <t>Vehicle routing and path optimization</t>
  </si>
  <si>
    <t>&gt;50%</t>
  </si>
  <si>
    <t>VRP software since 1980s (Descartes, Paragon). In-practice; retire.</t>
  </si>
  <si>
    <t>operations_research</t>
  </si>
  <si>
    <t>Operations research methods</t>
  </si>
  <si>
    <t>retired</t>
  </si>
  <si>
    <t>retire</t>
  </si>
  <si>
    <t>n/a</t>
  </si>
  <si>
    <t>A discipline, not a technology. Retire from both dashboards.</t>
  </si>
  <si>
    <t>last_mile_delivery</t>
  </si>
  <si>
    <t>Last-mile delivery optimization</t>
  </si>
  <si>
    <t>Mature routing/dispatch software (Onfleet, Bringg, Descartes). Retire.</t>
  </si>
  <si>
    <t>supply_chain_llm</t>
  </si>
  <si>
    <t>Domain-specific LLMs for supply chain</t>
  </si>
  <si>
    <t>Research and vendor announcements; few operational deployments distinct from general LLMs.</t>
  </si>
  <si>
    <t>item_level_rfid</t>
  </si>
  <si>
    <t>Item-level RFID</t>
  </si>
  <si>
    <t>traceability</t>
  </si>
  <si>
    <t>&gt;50% apparel; low elsewhere</t>
  </si>
  <si>
    <t>Walmart mandates 2022-24; Zara, Nike. In-practice in retail. Consider keeping a narrower 'RFID beyond apparel' item.</t>
  </si>
  <si>
    <t>digital_product_passport</t>
  </si>
  <si>
    <t>Digital product passport</t>
  </si>
  <si>
    <t>EU battery passport mandatory Feb 2027; ESPR pilots. Regulatory clock makes this a strong pre-practice item.</t>
  </si>
  <si>
    <t>gs1_2d</t>
  </si>
  <si>
    <t>GS1 2D barcode transition</t>
  </si>
  <si>
    <t>&lt;5% at POS</t>
  </si>
  <si>
    <t>Sunrise 2027; technology proven, adoption at point of sale still low. Pre-practice with a hard deadline.</t>
  </si>
  <si>
    <t>blockchain_traceability</t>
  </si>
  <si>
    <t>Blockchain traceability</t>
  </si>
  <si>
    <t>in-practice (stalled)</t>
  </si>
  <si>
    <t>Kevin's 09-04 ruling: diffusion since ~2000s (IBM Food Trust 2018). TradeLens shut 2023. Tech proven, adoption plateaued. Suggest 'in-practice, declining' or retire.</t>
  </si>
  <si>
    <t>minerals_traceability</t>
  </si>
  <si>
    <t>Critical minerals traceability</t>
  </si>
  <si>
    <t>Circulor, RCS Global, EU battery regulation, IRA sourcing rules. Pilots and mandated programs.</t>
  </si>
  <si>
    <t>battery_free_iot</t>
  </si>
  <si>
    <t>Battery-free and energy-harvesting IoT</t>
  </si>
  <si>
    <t>Wiliot at scale with a few retailers; otherwise pilots.</t>
  </si>
  <si>
    <t>smart_labels</t>
  </si>
  <si>
    <t>Smart labels beyond RFID</t>
  </si>
  <si>
    <t>L</t>
  </si>
  <si>
    <t>Vague scope (NFC, printed sensors, e-ink). Needs a tighter definition before tracking.</t>
  </si>
  <si>
    <t>cold_chain_iot</t>
  </si>
  <si>
    <t>Cold chain IoT monitoring</t>
  </si>
  <si>
    <t>physical</t>
  </si>
  <si>
    <t>40-60% pharma</t>
  </si>
  <si>
    <t>Sensitech, Tive, Controlant; GDP-mandated in pharma. In-practice; findings.py already notes it as diffusion.</t>
  </si>
  <si>
    <t>active_cold_packaging</t>
  </si>
  <si>
    <t>Active cold chain packaging</t>
  </si>
  <si>
    <t>high in pharma</t>
  </si>
  <si>
    <t>Envirotainer since 1985, CSafe, va-Q-tec. Mature. Retire.</t>
  </si>
  <si>
    <t>additive_spares</t>
  </si>
  <si>
    <t>Additive manufacturing for spare parts</t>
  </si>
  <si>
    <t>Used by DB, US military, aerospace MRO; general adoption low. Kevin's note: important in niches, no longer a general narrative.</t>
  </si>
  <si>
    <t>microfactories</t>
  </si>
  <si>
    <t>Microfactories and distributed manufacturing</t>
  </si>
  <si>
    <t>Arrival collapsed 2024; Haddy, Nexa3D pilots. Demonstrator stage.</t>
  </si>
  <si>
    <t>microfulfillment</t>
  </si>
  <si>
    <t>Microfulfillment automation</t>
  </si>
  <si>
    <t>&lt;10% of grocery</t>
  </si>
  <si>
    <t>Ocado, Walmart MFCs, Kroger; Takeoff bankrupt 2024. Proven, thin adoption, some retreat.</t>
  </si>
  <si>
    <t>cv_inspection</t>
  </si>
  <si>
    <t>Computer vision for logistics and inspection</t>
  </si>
  <si>
    <t>10-20%</t>
  </si>
  <si>
    <t>In-practice for mfg quality inspection; in logistics (dimensioning, damage, dock CV) still spreading. Narrow to logistics use to keep.</t>
  </si>
  <si>
    <t>risk_intelligence</t>
  </si>
  <si>
    <t>Supply chain risk intelligence</t>
  </si>
  <si>
    <t>networks</t>
  </si>
  <si>
    <t>30-50% large firms</t>
  </si>
  <si>
    <t>Everstream, Resilinc, Interos, Sphera; post-COVID standard for large firms. In-practice.</t>
  </si>
  <si>
    <t>nearshoring_analytics</t>
  </si>
  <si>
    <t>Nearshoring and network redesign</t>
  </si>
  <si>
    <t>A strategy, not a technology; network design software (Llamasoft/Coupa) is mature. Retire.</t>
  </si>
  <si>
    <t>rail_intermodal_tech</t>
  </si>
  <si>
    <t>Rail intermodal technology</t>
  </si>
  <si>
    <t>retire / redefine</t>
  </si>
  <si>
    <t>Too vague to place. Redefine as specific items (e.g., autonomous rail cars: Parallel Systems, pre-practice) or retire.</t>
  </si>
  <si>
    <t>positive_train_control</t>
  </si>
  <si>
    <t>Positive train control</t>
  </si>
  <si>
    <t>100% mandated</t>
  </si>
  <si>
    <t>Federally mandated, complete Dec 2020. Retire.</t>
  </si>
  <si>
    <t>inland_ports</t>
  </si>
  <si>
    <t>Inland ports</t>
  </si>
  <si>
    <t>Infrastructure category, not a technology. Retire.</t>
  </si>
  <si>
    <t>private_5g_warehouse</t>
  </si>
  <si>
    <t>Private wireless and indoor positioning</t>
  </si>
  <si>
    <t>Private 5G/CBRS deployments at some DCs and ports; UWB positioning niche. Spreading, not diffused.</t>
  </si>
  <si>
    <t>quantum_logistics</t>
  </si>
  <si>
    <t>Quantum optimization for logistics</t>
  </si>
  <si>
    <t>~0%</t>
  </si>
  <si>
    <t>Research and vendor demos (D-Wave/Volkswagen, Pasqal). Lab stage.</t>
  </si>
  <si>
    <t>green_logistics</t>
  </si>
  <si>
    <t>Freight decarbonization</t>
  </si>
  <si>
    <t>retire / split</t>
  </si>
  <si>
    <t>Umbrella, not a technology; its parts (electric trucks, SAF, hydrogen) are already items. Retire umbrella.</t>
  </si>
  <si>
    <t>infrastructure_security</t>
  </si>
  <si>
    <t>Critical infrastructure and OT security</t>
  </si>
  <si>
    <t>high (regulated)</t>
  </si>
  <si>
    <t>Mature market (Claroty, Dragos, NERC CIP). Not supply chain-specific. Retire.</t>
  </si>
  <si>
    <t>Assistant call</t>
  </si>
  <si>
    <t>count</t>
  </si>
  <si>
    <t>Kevin confirmed Y</t>
  </si>
  <si>
    <t>Kevin confirmed N</t>
  </si>
  <si>
    <t>total</t>
  </si>
  <si>
    <t>Legend</t>
  </si>
  <si>
    <t>Yellow cells on the Sort sheet are yours: L = confirm the assistant call (Y/N/?), M = your call if different, N = notes.</t>
  </si>
  <si>
    <t>Every other cell is the assistant's guess as of 2026-09-23, from general knowledge, not from the observatory database. Evidence column says why.</t>
  </si>
  <si>
    <t>Proposed screen: pre-practice = best-evidenced TRL &lt;= 8 OR current adoption below ~15% of relevant firms. Both borderline categories need your ruling on the denominator.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</si>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</sst>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C1D4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N15" sqref="N15"/>
    </sheetView>
  </sheetViews>
  <sheetFormatPr baseColWidth="10" defaultColWidth="8.83203125" defaultRowHeight="15" x14ac:dyDescent="0.2"/>
  <cols>
    <col min="1" max="1" width="24" customWidth="1"/>
    <col min="2" max="2" width="34" customWidth="1"/>
    <col min="3" max="3" width="12" customWidth="1"/>
    <col min="4" max="4" width="10" customWidth="1"/>
    <col min="5" max="5" width="20" customWidth="1"/>
    <col min="6" max="6" width="22" customWidth="1"/>
    <col min="7" max="7" width="10" customWidth="1"/>
    <col min="8" max="9" width="8" customWidth="1"/>
    <col min="10" max="10" width="10" customWidth="1"/>
    <col min="11" max="11" width="70" customWidth="1"/>
    <col min="12" max="12" width="14" customWidth="1"/>
    <col min="13" max="13" width="22" customWidth="1"/>
    <col min="14" max="14" width="40" customWidth="1"/>
  </cols>
  <sheetData>
    <row r="1" spans="1:14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9</v>
      </c>
      <c r="H2" s="2">
        <v>9</v>
      </c>
      <c r="I2" s="2">
        <v>9</v>
      </c>
      <c r="J2" s="2" t="s">
        <v>20</v>
      </c>
      <c r="K2" s="2" t="s">
        <v>21</v>
      </c>
      <c r="L2" s="3" t="s">
        <v>227</v>
      </c>
      <c r="M2" s="3"/>
      <c r="N2" s="3"/>
    </row>
    <row r="3" spans="1:14" ht="28" x14ac:dyDescent="0.2">
      <c r="A3" s="2" t="s">
        <v>22</v>
      </c>
      <c r="B3" s="2" t="s">
        <v>23</v>
      </c>
      <c r="C3" s="2" t="s">
        <v>16</v>
      </c>
      <c r="D3" s="2" t="s">
        <v>17</v>
      </c>
      <c r="E3" s="2" t="s">
        <v>24</v>
      </c>
      <c r="F3" s="2" t="s">
        <v>25</v>
      </c>
      <c r="G3" s="2">
        <v>8</v>
      </c>
      <c r="H3" s="2">
        <v>7</v>
      </c>
      <c r="I3" s="2">
        <v>8</v>
      </c>
      <c r="J3" s="2" t="s">
        <v>26</v>
      </c>
      <c r="K3" s="2" t="s">
        <v>27</v>
      </c>
      <c r="L3" s="3" t="s">
        <v>227</v>
      </c>
      <c r="M3" s="3"/>
      <c r="N3" s="3"/>
    </row>
    <row r="4" spans="1:14" ht="28" x14ac:dyDescent="0.2">
      <c r="A4" s="2" t="s">
        <v>28</v>
      </c>
      <c r="B4" s="2" t="s">
        <v>29</v>
      </c>
      <c r="C4" s="2" t="s">
        <v>16</v>
      </c>
      <c r="D4" s="2" t="s">
        <v>17</v>
      </c>
      <c r="E4" s="2" t="s">
        <v>24</v>
      </c>
      <c r="F4" s="2" t="s">
        <v>30</v>
      </c>
      <c r="G4" s="2">
        <v>6</v>
      </c>
      <c r="H4" s="2">
        <v>5</v>
      </c>
      <c r="I4" s="2">
        <v>6</v>
      </c>
      <c r="J4" s="2" t="s">
        <v>20</v>
      </c>
      <c r="K4" s="2" t="s">
        <v>31</v>
      </c>
      <c r="L4" s="3" t="s">
        <v>227</v>
      </c>
      <c r="M4" s="3"/>
      <c r="N4" s="3"/>
    </row>
    <row r="5" spans="1:14" x14ac:dyDescent="0.2">
      <c r="A5" s="2" t="s">
        <v>32</v>
      </c>
      <c r="B5" s="2" t="s">
        <v>33</v>
      </c>
      <c r="C5" s="2" t="s">
        <v>16</v>
      </c>
      <c r="D5" s="2" t="s">
        <v>17</v>
      </c>
      <c r="E5" s="2" t="s">
        <v>24</v>
      </c>
      <c r="F5" s="2" t="s">
        <v>34</v>
      </c>
      <c r="G5" s="2">
        <v>7</v>
      </c>
      <c r="H5" s="2">
        <v>6</v>
      </c>
      <c r="I5" s="2">
        <v>7</v>
      </c>
      <c r="J5" s="2" t="s">
        <v>26</v>
      </c>
      <c r="K5" s="2" t="s">
        <v>35</v>
      </c>
      <c r="L5" s="3" t="s">
        <v>227</v>
      </c>
      <c r="M5" s="3"/>
      <c r="N5" s="3"/>
    </row>
    <row r="6" spans="1:14" ht="28" x14ac:dyDescent="0.2">
      <c r="A6" s="2" t="s">
        <v>36</v>
      </c>
      <c r="B6" s="2" t="s">
        <v>37</v>
      </c>
      <c r="C6" s="2" t="s">
        <v>16</v>
      </c>
      <c r="D6" s="2" t="s">
        <v>17</v>
      </c>
      <c r="E6" s="2" t="s">
        <v>38</v>
      </c>
      <c r="F6" s="2" t="s">
        <v>39</v>
      </c>
      <c r="G6" s="2">
        <v>9</v>
      </c>
      <c r="H6" s="2">
        <v>9</v>
      </c>
      <c r="I6" s="2">
        <v>9</v>
      </c>
      <c r="J6" s="2" t="s">
        <v>26</v>
      </c>
      <c r="K6" s="2" t="s">
        <v>40</v>
      </c>
      <c r="L6" s="3" t="s">
        <v>227</v>
      </c>
      <c r="M6" s="3"/>
      <c r="N6" s="3"/>
    </row>
    <row r="7" spans="1:14" x14ac:dyDescent="0.2">
      <c r="A7" s="2" t="s">
        <v>41</v>
      </c>
      <c r="B7" s="2" t="s">
        <v>42</v>
      </c>
      <c r="C7" s="2" t="s">
        <v>16</v>
      </c>
      <c r="D7" s="2" t="s">
        <v>17</v>
      </c>
      <c r="E7" s="2" t="s">
        <v>24</v>
      </c>
      <c r="F7" s="2" t="s">
        <v>30</v>
      </c>
      <c r="G7" s="2">
        <v>7</v>
      </c>
      <c r="H7" s="2">
        <v>7</v>
      </c>
      <c r="I7" s="2">
        <v>8</v>
      </c>
      <c r="J7" s="2" t="s">
        <v>20</v>
      </c>
      <c r="K7" s="2" t="s">
        <v>43</v>
      </c>
      <c r="L7" s="3" t="s">
        <v>227</v>
      </c>
      <c r="M7" s="3"/>
      <c r="N7" s="3"/>
    </row>
    <row r="8" spans="1:14" x14ac:dyDescent="0.2">
      <c r="A8" s="2" t="s">
        <v>44</v>
      </c>
      <c r="B8" s="2" t="s">
        <v>45</v>
      </c>
      <c r="C8" s="2" t="s">
        <v>16</v>
      </c>
      <c r="D8" s="2" t="s">
        <v>17</v>
      </c>
      <c r="E8" s="2" t="s">
        <v>24</v>
      </c>
      <c r="F8" s="2" t="s">
        <v>30</v>
      </c>
      <c r="G8" s="2">
        <v>7</v>
      </c>
      <c r="H8" s="2">
        <v>7</v>
      </c>
      <c r="I8" s="2">
        <v>8</v>
      </c>
      <c r="J8" s="2" t="s">
        <v>20</v>
      </c>
      <c r="K8" s="2" t="s">
        <v>46</v>
      </c>
      <c r="L8" s="3" t="s">
        <v>227</v>
      </c>
      <c r="M8" s="3"/>
      <c r="N8" s="3"/>
    </row>
    <row r="9" spans="1:14" ht="28" x14ac:dyDescent="0.2">
      <c r="A9" s="2" t="s">
        <v>47</v>
      </c>
      <c r="B9" s="2" t="s">
        <v>48</v>
      </c>
      <c r="C9" s="2" t="s">
        <v>16</v>
      </c>
      <c r="D9" s="2" t="s">
        <v>17</v>
      </c>
      <c r="E9" s="2" t="s">
        <v>18</v>
      </c>
      <c r="F9" s="2" t="s">
        <v>49</v>
      </c>
      <c r="G9" s="2">
        <v>9</v>
      </c>
      <c r="H9" s="2">
        <v>9</v>
      </c>
      <c r="I9" s="2">
        <v>9</v>
      </c>
      <c r="J9" s="2" t="s">
        <v>20</v>
      </c>
      <c r="K9" s="2" t="s">
        <v>50</v>
      </c>
      <c r="L9" s="3" t="s">
        <v>227</v>
      </c>
      <c r="M9" s="3"/>
      <c r="N9" s="3"/>
    </row>
    <row r="10" spans="1:14" ht="28" x14ac:dyDescent="0.2">
      <c r="A10" s="2" t="s">
        <v>51</v>
      </c>
      <c r="B10" s="2" t="s">
        <v>52</v>
      </c>
      <c r="C10" s="2" t="s">
        <v>53</v>
      </c>
      <c r="D10" s="2" t="s">
        <v>17</v>
      </c>
      <c r="E10" s="2" t="s">
        <v>24</v>
      </c>
      <c r="F10" s="2" t="s">
        <v>30</v>
      </c>
      <c r="G10" s="2">
        <v>7</v>
      </c>
      <c r="H10" s="2">
        <v>6</v>
      </c>
      <c r="I10" s="2">
        <v>7</v>
      </c>
      <c r="J10" s="2" t="s">
        <v>20</v>
      </c>
      <c r="K10" s="2" t="s">
        <v>54</v>
      </c>
      <c r="L10" s="3" t="s">
        <v>227</v>
      </c>
      <c r="M10" s="3"/>
      <c r="N10" s="3"/>
    </row>
    <row r="11" spans="1:14" ht="28" x14ac:dyDescent="0.2">
      <c r="A11" s="2" t="s">
        <v>55</v>
      </c>
      <c r="B11" s="2" t="s">
        <v>56</v>
      </c>
      <c r="C11" s="2" t="s">
        <v>53</v>
      </c>
      <c r="D11" s="2" t="s">
        <v>17</v>
      </c>
      <c r="E11" s="2" t="s">
        <v>24</v>
      </c>
      <c r="F11" s="2" t="s">
        <v>57</v>
      </c>
      <c r="G11" s="2">
        <v>8</v>
      </c>
      <c r="H11" s="2">
        <v>8</v>
      </c>
      <c r="I11" s="2">
        <v>9</v>
      </c>
      <c r="J11" s="2" t="s">
        <v>20</v>
      </c>
      <c r="K11" s="2" t="s">
        <v>58</v>
      </c>
      <c r="L11" s="3" t="s">
        <v>227</v>
      </c>
      <c r="M11" s="3"/>
      <c r="N11" s="3"/>
    </row>
    <row r="12" spans="1:14" x14ac:dyDescent="0.2">
      <c r="A12" s="2" t="s">
        <v>59</v>
      </c>
      <c r="B12" s="2" t="s">
        <v>60</v>
      </c>
      <c r="C12" s="2" t="s">
        <v>53</v>
      </c>
      <c r="D12" s="2" t="s">
        <v>17</v>
      </c>
      <c r="E12" s="2" t="s">
        <v>24</v>
      </c>
      <c r="F12" s="2" t="s">
        <v>61</v>
      </c>
      <c r="G12" s="2">
        <v>6</v>
      </c>
      <c r="H12" s="2">
        <v>6</v>
      </c>
      <c r="I12" s="2">
        <v>7</v>
      </c>
      <c r="J12" s="2" t="s">
        <v>20</v>
      </c>
      <c r="K12" s="2" t="s">
        <v>62</v>
      </c>
      <c r="L12" s="3" t="s">
        <v>227</v>
      </c>
      <c r="M12" s="3"/>
      <c r="N12" s="3"/>
    </row>
    <row r="13" spans="1:14" ht="28" x14ac:dyDescent="0.2">
      <c r="A13" s="2" t="s">
        <v>63</v>
      </c>
      <c r="B13" s="2" t="s">
        <v>64</v>
      </c>
      <c r="C13" s="2" t="s">
        <v>53</v>
      </c>
      <c r="D13" s="2" t="s">
        <v>17</v>
      </c>
      <c r="E13" s="2" t="s">
        <v>24</v>
      </c>
      <c r="F13" s="2" t="s">
        <v>34</v>
      </c>
      <c r="G13" s="2">
        <v>7</v>
      </c>
      <c r="H13" s="2">
        <v>7</v>
      </c>
      <c r="I13" s="2">
        <v>8</v>
      </c>
      <c r="J13" s="2" t="s">
        <v>26</v>
      </c>
      <c r="K13" s="2" t="s">
        <v>65</v>
      </c>
      <c r="L13" s="3" t="s">
        <v>227</v>
      </c>
      <c r="M13" s="3"/>
      <c r="N13" s="3"/>
    </row>
    <row r="14" spans="1:14" ht="28" x14ac:dyDescent="0.2">
      <c r="A14" s="2" t="s">
        <v>66</v>
      </c>
      <c r="B14" s="2" t="s">
        <v>67</v>
      </c>
      <c r="C14" s="2" t="s">
        <v>53</v>
      </c>
      <c r="D14" s="2" t="s">
        <v>17</v>
      </c>
      <c r="E14" s="2" t="s">
        <v>38</v>
      </c>
      <c r="F14" s="2" t="s">
        <v>68</v>
      </c>
      <c r="G14" s="2">
        <v>9</v>
      </c>
      <c r="H14" s="2">
        <v>9</v>
      </c>
      <c r="I14" s="2">
        <v>9</v>
      </c>
      <c r="J14" s="2" t="s">
        <v>26</v>
      </c>
      <c r="K14" s="2" t="s">
        <v>69</v>
      </c>
      <c r="L14" s="3" t="s">
        <v>227</v>
      </c>
      <c r="M14" s="3"/>
      <c r="N14" s="3"/>
    </row>
    <row r="15" spans="1:14" x14ac:dyDescent="0.2">
      <c r="A15" s="2" t="s">
        <v>70</v>
      </c>
      <c r="B15" s="2" t="s">
        <v>71</v>
      </c>
      <c r="C15" s="2" t="s">
        <v>72</v>
      </c>
      <c r="D15" s="2" t="s">
        <v>17</v>
      </c>
      <c r="E15" s="2" t="s">
        <v>18</v>
      </c>
      <c r="F15" s="2" t="s">
        <v>73</v>
      </c>
      <c r="G15" s="2">
        <v>9</v>
      </c>
      <c r="H15" s="2">
        <v>9</v>
      </c>
      <c r="I15" s="2">
        <v>9</v>
      </c>
      <c r="J15" s="2" t="s">
        <v>20</v>
      </c>
      <c r="K15" s="2" t="s">
        <v>74</v>
      </c>
      <c r="L15" s="3" t="s">
        <v>227</v>
      </c>
      <c r="M15" s="3"/>
      <c r="N15" s="3"/>
    </row>
    <row r="16" spans="1:14" x14ac:dyDescent="0.2">
      <c r="A16" s="2" t="s">
        <v>75</v>
      </c>
      <c r="B16" s="2" t="s">
        <v>76</v>
      </c>
      <c r="C16" s="2" t="s">
        <v>72</v>
      </c>
      <c r="D16" s="2" t="s">
        <v>17</v>
      </c>
      <c r="E16" s="2" t="s">
        <v>18</v>
      </c>
      <c r="F16" s="2" t="s">
        <v>77</v>
      </c>
      <c r="G16" s="2">
        <v>9</v>
      </c>
      <c r="H16" s="2">
        <v>9</v>
      </c>
      <c r="I16" s="2">
        <v>9</v>
      </c>
      <c r="J16" s="2" t="s">
        <v>20</v>
      </c>
      <c r="K16" s="2" t="s">
        <v>78</v>
      </c>
      <c r="L16" s="3" t="s">
        <v>227</v>
      </c>
      <c r="M16" s="3"/>
      <c r="N16" s="3"/>
    </row>
    <row r="17" spans="1:14" x14ac:dyDescent="0.2">
      <c r="A17" s="2" t="s">
        <v>79</v>
      </c>
      <c r="B17" s="2" t="s">
        <v>80</v>
      </c>
      <c r="C17" s="2" t="s">
        <v>72</v>
      </c>
      <c r="D17" s="2" t="s">
        <v>17</v>
      </c>
      <c r="E17" s="2" t="s">
        <v>18</v>
      </c>
      <c r="F17" s="2" t="s">
        <v>81</v>
      </c>
      <c r="G17" s="2">
        <v>9</v>
      </c>
      <c r="H17" s="2">
        <v>9</v>
      </c>
      <c r="I17" s="2">
        <v>9</v>
      </c>
      <c r="J17" s="2" t="s">
        <v>20</v>
      </c>
      <c r="K17" s="2" t="s">
        <v>82</v>
      </c>
      <c r="L17" s="3" t="s">
        <v>227</v>
      </c>
      <c r="M17" s="3"/>
      <c r="N17" s="3"/>
    </row>
    <row r="18" spans="1:14" x14ac:dyDescent="0.2">
      <c r="A18" s="2" t="s">
        <v>83</v>
      </c>
      <c r="B18" s="2" t="s">
        <v>84</v>
      </c>
      <c r="C18" s="2" t="s">
        <v>72</v>
      </c>
      <c r="D18" s="2" t="s">
        <v>17</v>
      </c>
      <c r="E18" s="2" t="s">
        <v>18</v>
      </c>
      <c r="F18" s="2" t="s">
        <v>77</v>
      </c>
      <c r="G18" s="2">
        <v>9</v>
      </c>
      <c r="H18" s="2">
        <v>9</v>
      </c>
      <c r="I18" s="2">
        <v>9</v>
      </c>
      <c r="J18" s="2" t="s">
        <v>20</v>
      </c>
      <c r="K18" s="2" t="s">
        <v>85</v>
      </c>
      <c r="L18" s="3" t="s">
        <v>227</v>
      </c>
      <c r="M18" s="3"/>
      <c r="N18" s="3"/>
    </row>
    <row r="19" spans="1:14" x14ac:dyDescent="0.2">
      <c r="A19" s="2" t="s">
        <v>86</v>
      </c>
      <c r="B19" s="2" t="s">
        <v>87</v>
      </c>
      <c r="C19" s="2" t="s">
        <v>72</v>
      </c>
      <c r="D19" s="2" t="s">
        <v>17</v>
      </c>
      <c r="E19" s="2" t="s">
        <v>18</v>
      </c>
      <c r="F19" s="2" t="s">
        <v>88</v>
      </c>
      <c r="G19" s="2">
        <v>9</v>
      </c>
      <c r="H19" s="2">
        <v>9</v>
      </c>
      <c r="I19" s="2">
        <v>9</v>
      </c>
      <c r="J19" s="2" t="s">
        <v>20</v>
      </c>
      <c r="K19" s="2" t="s">
        <v>89</v>
      </c>
      <c r="L19" s="3" t="s">
        <v>227</v>
      </c>
      <c r="M19" s="3"/>
      <c r="N19" s="3"/>
    </row>
    <row r="20" spans="1:14" ht="28" x14ac:dyDescent="0.2">
      <c r="A20" s="2" t="s">
        <v>90</v>
      </c>
      <c r="B20" s="2" t="s">
        <v>91</v>
      </c>
      <c r="C20" s="2" t="s">
        <v>92</v>
      </c>
      <c r="D20" s="2" t="s">
        <v>17</v>
      </c>
      <c r="E20" s="2" t="s">
        <v>24</v>
      </c>
      <c r="F20" s="2" t="s">
        <v>93</v>
      </c>
      <c r="G20" s="2">
        <v>6</v>
      </c>
      <c r="H20" s="2">
        <v>5</v>
      </c>
      <c r="I20" s="2">
        <v>7</v>
      </c>
      <c r="J20" s="2" t="s">
        <v>20</v>
      </c>
      <c r="K20" s="2" t="s">
        <v>94</v>
      </c>
      <c r="L20" s="3" t="s">
        <v>227</v>
      </c>
      <c r="M20" s="3"/>
      <c r="N20" s="3"/>
    </row>
    <row r="21" spans="1:14" ht="28" x14ac:dyDescent="0.2">
      <c r="A21" s="2" t="s">
        <v>95</v>
      </c>
      <c r="B21" s="2" t="s">
        <v>96</v>
      </c>
      <c r="C21" s="2" t="s">
        <v>92</v>
      </c>
      <c r="D21" s="2" t="s">
        <v>17</v>
      </c>
      <c r="E21" s="2" t="s">
        <v>97</v>
      </c>
      <c r="F21" s="2" t="s">
        <v>98</v>
      </c>
      <c r="G21" s="2">
        <v>7</v>
      </c>
      <c r="H21" s="2">
        <v>6</v>
      </c>
      <c r="I21" s="2">
        <v>8</v>
      </c>
      <c r="J21" s="2" t="s">
        <v>26</v>
      </c>
      <c r="K21" s="2" t="s">
        <v>99</v>
      </c>
      <c r="L21" s="3" t="s">
        <v>227</v>
      </c>
      <c r="M21" s="3"/>
      <c r="N21" s="3"/>
    </row>
    <row r="22" spans="1:14" ht="28" x14ac:dyDescent="0.2">
      <c r="A22" s="2" t="s">
        <v>100</v>
      </c>
      <c r="B22" s="2" t="s">
        <v>101</v>
      </c>
      <c r="C22" s="2" t="s">
        <v>92</v>
      </c>
      <c r="D22" s="2" t="s">
        <v>17</v>
      </c>
      <c r="E22" s="2" t="s">
        <v>18</v>
      </c>
      <c r="F22" s="2" t="s">
        <v>88</v>
      </c>
      <c r="G22" s="2">
        <v>9</v>
      </c>
      <c r="H22" s="2">
        <v>9</v>
      </c>
      <c r="I22" s="2">
        <v>9</v>
      </c>
      <c r="J22" s="2" t="s">
        <v>20</v>
      </c>
      <c r="K22" s="2" t="s">
        <v>102</v>
      </c>
      <c r="L22" s="3" t="s">
        <v>227</v>
      </c>
      <c r="M22" s="3"/>
      <c r="N22" s="3"/>
    </row>
    <row r="23" spans="1:14" ht="28" x14ac:dyDescent="0.2">
      <c r="A23" s="2" t="s">
        <v>103</v>
      </c>
      <c r="B23" s="2" t="s">
        <v>104</v>
      </c>
      <c r="C23" s="2" t="s">
        <v>92</v>
      </c>
      <c r="D23" s="2" t="s">
        <v>17</v>
      </c>
      <c r="E23" s="2" t="s">
        <v>18</v>
      </c>
      <c r="F23" s="2" t="s">
        <v>19</v>
      </c>
      <c r="G23" s="2">
        <v>9</v>
      </c>
      <c r="H23" s="2">
        <v>9</v>
      </c>
      <c r="I23" s="2">
        <v>9</v>
      </c>
      <c r="J23" s="2" t="s">
        <v>20</v>
      </c>
      <c r="K23" s="2" t="s">
        <v>105</v>
      </c>
      <c r="L23" s="3" t="s">
        <v>227</v>
      </c>
      <c r="M23" s="3"/>
      <c r="N23" s="3"/>
    </row>
    <row r="24" spans="1:14" ht="28" x14ac:dyDescent="0.2">
      <c r="A24" s="2" t="s">
        <v>106</v>
      </c>
      <c r="B24" s="2" t="s">
        <v>107</v>
      </c>
      <c r="C24" s="2" t="s">
        <v>92</v>
      </c>
      <c r="D24" s="2" t="s">
        <v>17</v>
      </c>
      <c r="E24" s="2" t="s">
        <v>24</v>
      </c>
      <c r="F24" s="2" t="s">
        <v>108</v>
      </c>
      <c r="G24" s="2">
        <v>7</v>
      </c>
      <c r="H24" s="2">
        <v>6</v>
      </c>
      <c r="I24" s="2">
        <v>7</v>
      </c>
      <c r="J24" s="2" t="s">
        <v>26</v>
      </c>
      <c r="K24" s="2" t="s">
        <v>109</v>
      </c>
      <c r="L24" s="3" t="s">
        <v>227</v>
      </c>
      <c r="M24" s="3"/>
      <c r="N24" s="3"/>
    </row>
    <row r="25" spans="1:14" ht="28" x14ac:dyDescent="0.2">
      <c r="A25" s="2" t="s">
        <v>110</v>
      </c>
      <c r="B25" s="2" t="s">
        <v>111</v>
      </c>
      <c r="C25" s="2" t="s">
        <v>92</v>
      </c>
      <c r="D25" s="2" t="s">
        <v>17</v>
      </c>
      <c r="E25" s="2" t="s">
        <v>112</v>
      </c>
      <c r="F25" s="2" t="s">
        <v>113</v>
      </c>
      <c r="G25" s="2">
        <v>8</v>
      </c>
      <c r="H25" s="2">
        <v>7</v>
      </c>
      <c r="I25" s="2">
        <v>9</v>
      </c>
      <c r="J25" s="2" t="s">
        <v>26</v>
      </c>
      <c r="K25" s="2" t="s">
        <v>114</v>
      </c>
      <c r="L25" s="3" t="s">
        <v>227</v>
      </c>
      <c r="M25" s="3"/>
      <c r="N25" s="3"/>
    </row>
    <row r="26" spans="1:14" ht="28" x14ac:dyDescent="0.2">
      <c r="A26" s="2" t="s">
        <v>115</v>
      </c>
      <c r="B26" s="2" t="s">
        <v>116</v>
      </c>
      <c r="C26" s="2" t="s">
        <v>92</v>
      </c>
      <c r="D26" s="2" t="s">
        <v>17</v>
      </c>
      <c r="E26" s="2" t="s">
        <v>18</v>
      </c>
      <c r="F26" s="2" t="s">
        <v>117</v>
      </c>
      <c r="G26" s="2">
        <v>9</v>
      </c>
      <c r="H26" s="2">
        <v>9</v>
      </c>
      <c r="I26" s="2">
        <v>9</v>
      </c>
      <c r="J26" s="2" t="s">
        <v>26</v>
      </c>
      <c r="K26" s="2" t="s">
        <v>118</v>
      </c>
      <c r="L26" s="3" t="s">
        <v>227</v>
      </c>
      <c r="M26" s="3"/>
      <c r="N26" s="3"/>
    </row>
    <row r="27" spans="1:14" x14ac:dyDescent="0.2">
      <c r="A27" s="2" t="s">
        <v>119</v>
      </c>
      <c r="B27" s="2" t="s">
        <v>120</v>
      </c>
      <c r="C27" s="2" t="s">
        <v>92</v>
      </c>
      <c r="D27" s="2" t="s">
        <v>17</v>
      </c>
      <c r="E27" s="2" t="s">
        <v>18</v>
      </c>
      <c r="F27" s="2" t="s">
        <v>121</v>
      </c>
      <c r="G27" s="2">
        <v>9</v>
      </c>
      <c r="H27" s="2">
        <v>9</v>
      </c>
      <c r="I27" s="2">
        <v>9</v>
      </c>
      <c r="J27" s="2" t="s">
        <v>20</v>
      </c>
      <c r="K27" s="2" t="s">
        <v>122</v>
      </c>
      <c r="L27" s="3" t="s">
        <v>227</v>
      </c>
      <c r="M27" s="3"/>
      <c r="N27" s="3"/>
    </row>
    <row r="28" spans="1:14" x14ac:dyDescent="0.2">
      <c r="A28" s="2" t="s">
        <v>123</v>
      </c>
      <c r="B28" s="2" t="s">
        <v>124</v>
      </c>
      <c r="C28" s="2" t="s">
        <v>92</v>
      </c>
      <c r="D28" s="2" t="s">
        <v>125</v>
      </c>
      <c r="E28" s="2" t="s">
        <v>126</v>
      </c>
      <c r="F28" s="2" t="s">
        <v>127</v>
      </c>
      <c r="G28" s="2">
        <v>9</v>
      </c>
      <c r="H28" s="2">
        <v>9</v>
      </c>
      <c r="I28" s="2">
        <v>9</v>
      </c>
      <c r="J28" s="2" t="s">
        <v>20</v>
      </c>
      <c r="K28" s="2" t="s">
        <v>128</v>
      </c>
      <c r="L28" s="3" t="s">
        <v>227</v>
      </c>
      <c r="M28" s="3"/>
      <c r="N28" s="3"/>
    </row>
    <row r="29" spans="1:14" x14ac:dyDescent="0.2">
      <c r="A29" s="2" t="s">
        <v>129</v>
      </c>
      <c r="B29" s="2" t="s">
        <v>130</v>
      </c>
      <c r="C29" s="2" t="s">
        <v>92</v>
      </c>
      <c r="D29" s="2" t="s">
        <v>17</v>
      </c>
      <c r="E29" s="2" t="s">
        <v>18</v>
      </c>
      <c r="F29" s="2" t="s">
        <v>121</v>
      </c>
      <c r="G29" s="2">
        <v>9</v>
      </c>
      <c r="H29" s="2">
        <v>9</v>
      </c>
      <c r="I29" s="2">
        <v>9</v>
      </c>
      <c r="J29" s="2" t="s">
        <v>20</v>
      </c>
      <c r="K29" s="2" t="s">
        <v>131</v>
      </c>
      <c r="L29" s="3" t="s">
        <v>227</v>
      </c>
      <c r="M29" s="3"/>
      <c r="N29" s="3"/>
    </row>
    <row r="30" spans="1:14" ht="28" x14ac:dyDescent="0.2">
      <c r="A30" s="2" t="s">
        <v>132</v>
      </c>
      <c r="B30" s="2" t="s">
        <v>133</v>
      </c>
      <c r="C30" s="2" t="s">
        <v>92</v>
      </c>
      <c r="D30" s="2" t="s">
        <v>17</v>
      </c>
      <c r="E30" s="2" t="s">
        <v>24</v>
      </c>
      <c r="F30" s="2" t="s">
        <v>34</v>
      </c>
      <c r="G30" s="2">
        <v>5</v>
      </c>
      <c r="H30" s="2">
        <v>4</v>
      </c>
      <c r="I30" s="2">
        <v>6</v>
      </c>
      <c r="J30" s="2" t="s">
        <v>26</v>
      </c>
      <c r="K30" s="2" t="s">
        <v>134</v>
      </c>
      <c r="L30" s="3" t="s">
        <v>227</v>
      </c>
      <c r="M30" s="3"/>
      <c r="N30" s="3"/>
    </row>
    <row r="31" spans="1:14" ht="28" x14ac:dyDescent="0.2">
      <c r="A31" s="2" t="s">
        <v>135</v>
      </c>
      <c r="B31" s="2" t="s">
        <v>136</v>
      </c>
      <c r="C31" s="2" t="s">
        <v>137</v>
      </c>
      <c r="D31" s="2" t="s">
        <v>17</v>
      </c>
      <c r="E31" s="2" t="s">
        <v>18</v>
      </c>
      <c r="F31" s="2" t="s">
        <v>138</v>
      </c>
      <c r="G31" s="2">
        <v>9</v>
      </c>
      <c r="H31" s="2">
        <v>9</v>
      </c>
      <c r="I31" s="2">
        <v>9</v>
      </c>
      <c r="J31" s="2" t="s">
        <v>20</v>
      </c>
      <c r="K31" s="2" t="s">
        <v>139</v>
      </c>
      <c r="L31" s="3" t="s">
        <v>227</v>
      </c>
      <c r="M31" s="3"/>
      <c r="N31" s="3"/>
    </row>
    <row r="32" spans="1:14" ht="28" x14ac:dyDescent="0.2">
      <c r="A32" s="2" t="s">
        <v>140</v>
      </c>
      <c r="B32" s="2" t="s">
        <v>141</v>
      </c>
      <c r="C32" s="2" t="s">
        <v>137</v>
      </c>
      <c r="D32" s="2" t="s">
        <v>17</v>
      </c>
      <c r="E32" s="2" t="s">
        <v>24</v>
      </c>
      <c r="F32" s="2" t="s">
        <v>30</v>
      </c>
      <c r="G32" s="2">
        <v>7</v>
      </c>
      <c r="H32" s="2">
        <v>6</v>
      </c>
      <c r="I32" s="2">
        <v>7</v>
      </c>
      <c r="J32" s="2" t="s">
        <v>20</v>
      </c>
      <c r="K32" s="2" t="s">
        <v>142</v>
      </c>
      <c r="L32" s="3" t="s">
        <v>227</v>
      </c>
      <c r="M32" s="3"/>
      <c r="N32" s="3"/>
    </row>
    <row r="33" spans="1:14" ht="28" x14ac:dyDescent="0.2">
      <c r="A33" s="2" t="s">
        <v>143</v>
      </c>
      <c r="B33" s="2" t="s">
        <v>144</v>
      </c>
      <c r="C33" s="2" t="s">
        <v>137</v>
      </c>
      <c r="D33" s="2" t="s">
        <v>17</v>
      </c>
      <c r="E33" s="2" t="s">
        <v>24</v>
      </c>
      <c r="F33" s="2" t="s">
        <v>145</v>
      </c>
      <c r="G33" s="2">
        <v>8</v>
      </c>
      <c r="H33" s="2">
        <v>8</v>
      </c>
      <c r="I33" s="2">
        <v>9</v>
      </c>
      <c r="J33" s="2" t="s">
        <v>20</v>
      </c>
      <c r="K33" s="2" t="s">
        <v>146</v>
      </c>
      <c r="L33" s="3" t="s">
        <v>227</v>
      </c>
      <c r="M33" s="3"/>
      <c r="N33" s="3"/>
    </row>
    <row r="34" spans="1:14" ht="28" x14ac:dyDescent="0.2">
      <c r="A34" s="2" t="s">
        <v>147</v>
      </c>
      <c r="B34" s="2" t="s">
        <v>148</v>
      </c>
      <c r="C34" s="2" t="s">
        <v>137</v>
      </c>
      <c r="D34" s="2" t="s">
        <v>17</v>
      </c>
      <c r="E34" s="2" t="s">
        <v>149</v>
      </c>
      <c r="F34" s="2" t="s">
        <v>25</v>
      </c>
      <c r="G34" s="2">
        <v>9</v>
      </c>
      <c r="H34" s="2">
        <v>8</v>
      </c>
      <c r="I34" s="2">
        <v>9</v>
      </c>
      <c r="J34" s="2" t="s">
        <v>26</v>
      </c>
      <c r="K34" s="2" t="s">
        <v>150</v>
      </c>
      <c r="L34" s="3" t="s">
        <v>227</v>
      </c>
      <c r="M34" s="3"/>
      <c r="N34" s="3"/>
    </row>
    <row r="35" spans="1:14" ht="28" x14ac:dyDescent="0.2">
      <c r="A35" s="2" t="s">
        <v>151</v>
      </c>
      <c r="B35" s="2" t="s">
        <v>152</v>
      </c>
      <c r="C35" s="2" t="s">
        <v>137</v>
      </c>
      <c r="D35" s="2" t="s">
        <v>17</v>
      </c>
      <c r="E35" s="2" t="s">
        <v>24</v>
      </c>
      <c r="F35" s="2" t="s">
        <v>93</v>
      </c>
      <c r="G35" s="2">
        <v>7</v>
      </c>
      <c r="H35" s="2">
        <v>6</v>
      </c>
      <c r="I35" s="2">
        <v>7</v>
      </c>
      <c r="J35" s="2" t="s">
        <v>26</v>
      </c>
      <c r="K35" s="2" t="s">
        <v>153</v>
      </c>
      <c r="L35" s="3" t="s">
        <v>227</v>
      </c>
      <c r="M35" s="3"/>
      <c r="N35" s="3"/>
    </row>
    <row r="36" spans="1:14" x14ac:dyDescent="0.2">
      <c r="A36" s="2" t="s">
        <v>154</v>
      </c>
      <c r="B36" s="2" t="s">
        <v>155</v>
      </c>
      <c r="C36" s="2" t="s">
        <v>137</v>
      </c>
      <c r="D36" s="2" t="s">
        <v>17</v>
      </c>
      <c r="E36" s="2" t="s">
        <v>24</v>
      </c>
      <c r="F36" s="2" t="s">
        <v>34</v>
      </c>
      <c r="G36" s="2">
        <v>8</v>
      </c>
      <c r="H36" s="2">
        <v>7</v>
      </c>
      <c r="I36" s="2">
        <v>8</v>
      </c>
      <c r="J36" s="2" t="s">
        <v>26</v>
      </c>
      <c r="K36" s="2" t="s">
        <v>156</v>
      </c>
      <c r="L36" s="3" t="s">
        <v>227</v>
      </c>
      <c r="M36" s="3"/>
      <c r="N36" s="3"/>
    </row>
    <row r="37" spans="1:14" x14ac:dyDescent="0.2">
      <c r="A37" s="2" t="s">
        <v>157</v>
      </c>
      <c r="B37" s="2" t="s">
        <v>158</v>
      </c>
      <c r="C37" s="2" t="s">
        <v>137</v>
      </c>
      <c r="D37" s="2" t="s">
        <v>17</v>
      </c>
      <c r="E37" s="2" t="s">
        <v>24</v>
      </c>
      <c r="F37" s="2" t="s">
        <v>34</v>
      </c>
      <c r="G37" s="2">
        <v>7</v>
      </c>
      <c r="H37" s="2">
        <v>6</v>
      </c>
      <c r="I37" s="2">
        <v>8</v>
      </c>
      <c r="J37" s="2" t="s">
        <v>159</v>
      </c>
      <c r="K37" s="2" t="s">
        <v>160</v>
      </c>
      <c r="L37" s="3" t="s">
        <v>227</v>
      </c>
      <c r="M37" s="3"/>
      <c r="N37" s="3"/>
    </row>
    <row r="38" spans="1:14" ht="28" x14ac:dyDescent="0.2">
      <c r="A38" s="2" t="s">
        <v>161</v>
      </c>
      <c r="B38" s="2" t="s">
        <v>162</v>
      </c>
      <c r="C38" s="2" t="s">
        <v>163</v>
      </c>
      <c r="D38" s="2" t="s">
        <v>17</v>
      </c>
      <c r="E38" s="2" t="s">
        <v>18</v>
      </c>
      <c r="F38" s="2" t="s">
        <v>164</v>
      </c>
      <c r="G38" s="2">
        <v>9</v>
      </c>
      <c r="H38" s="2">
        <v>9</v>
      </c>
      <c r="I38" s="2">
        <v>9</v>
      </c>
      <c r="J38" s="2" t="s">
        <v>20</v>
      </c>
      <c r="K38" s="2" t="s">
        <v>165</v>
      </c>
      <c r="L38" s="3" t="s">
        <v>227</v>
      </c>
      <c r="M38" s="3"/>
      <c r="N38" s="3"/>
    </row>
    <row r="39" spans="1:14" x14ac:dyDescent="0.2">
      <c r="A39" s="2" t="s">
        <v>166</v>
      </c>
      <c r="B39" s="2" t="s">
        <v>167</v>
      </c>
      <c r="C39" s="2" t="s">
        <v>163</v>
      </c>
      <c r="D39" s="2" t="s">
        <v>17</v>
      </c>
      <c r="E39" s="2" t="s">
        <v>18</v>
      </c>
      <c r="F39" s="2" t="s">
        <v>168</v>
      </c>
      <c r="G39" s="2">
        <v>9</v>
      </c>
      <c r="H39" s="2">
        <v>9</v>
      </c>
      <c r="I39" s="2">
        <v>9</v>
      </c>
      <c r="J39" s="2" t="s">
        <v>20</v>
      </c>
      <c r="K39" s="2" t="s">
        <v>169</v>
      </c>
      <c r="L39" s="3" t="s">
        <v>227</v>
      </c>
      <c r="M39" s="3"/>
      <c r="N39" s="3"/>
    </row>
    <row r="40" spans="1:14" ht="28" x14ac:dyDescent="0.2">
      <c r="A40" s="2" t="s">
        <v>170</v>
      </c>
      <c r="B40" s="2" t="s">
        <v>171</v>
      </c>
      <c r="C40" s="2" t="s">
        <v>163</v>
      </c>
      <c r="D40" s="2" t="s">
        <v>17</v>
      </c>
      <c r="E40" s="2" t="s">
        <v>97</v>
      </c>
      <c r="F40" s="2" t="s">
        <v>108</v>
      </c>
      <c r="G40" s="2">
        <v>8</v>
      </c>
      <c r="H40" s="2">
        <v>8</v>
      </c>
      <c r="I40" s="2">
        <v>9</v>
      </c>
      <c r="J40" s="2" t="s">
        <v>26</v>
      </c>
      <c r="K40" s="2" t="s">
        <v>172</v>
      </c>
      <c r="L40" s="3" t="s">
        <v>227</v>
      </c>
      <c r="M40" s="3"/>
      <c r="N40" s="3"/>
    </row>
    <row r="41" spans="1:14" ht="28" x14ac:dyDescent="0.2">
      <c r="A41" s="2" t="s">
        <v>173</v>
      </c>
      <c r="B41" s="2" t="s">
        <v>174</v>
      </c>
      <c r="C41" s="2" t="s">
        <v>163</v>
      </c>
      <c r="D41" s="2" t="s">
        <v>17</v>
      </c>
      <c r="E41" s="2" t="s">
        <v>24</v>
      </c>
      <c r="F41" s="2" t="s">
        <v>34</v>
      </c>
      <c r="G41" s="2">
        <v>6</v>
      </c>
      <c r="H41" s="2">
        <v>6</v>
      </c>
      <c r="I41" s="2">
        <v>7</v>
      </c>
      <c r="J41" s="2" t="s">
        <v>26</v>
      </c>
      <c r="K41" s="2" t="s">
        <v>175</v>
      </c>
      <c r="L41" s="3" t="s">
        <v>227</v>
      </c>
      <c r="M41" s="3"/>
      <c r="N41" s="3"/>
    </row>
    <row r="42" spans="1:14" ht="28" x14ac:dyDescent="0.2">
      <c r="A42" s="2" t="s">
        <v>176</v>
      </c>
      <c r="B42" s="2" t="s">
        <v>177</v>
      </c>
      <c r="C42" s="2" t="s">
        <v>163</v>
      </c>
      <c r="D42" s="2" t="s">
        <v>17</v>
      </c>
      <c r="E42" s="2" t="s">
        <v>97</v>
      </c>
      <c r="F42" s="2" t="s">
        <v>178</v>
      </c>
      <c r="G42" s="2">
        <v>8</v>
      </c>
      <c r="H42" s="2">
        <v>8</v>
      </c>
      <c r="I42" s="2">
        <v>9</v>
      </c>
      <c r="J42" s="2" t="s">
        <v>26</v>
      </c>
      <c r="K42" s="2" t="s">
        <v>179</v>
      </c>
      <c r="L42" s="3" t="s">
        <v>227</v>
      </c>
      <c r="M42" s="3"/>
      <c r="N42" s="3"/>
    </row>
    <row r="43" spans="1:14" ht="28" x14ac:dyDescent="0.2">
      <c r="A43" s="2" t="s">
        <v>180</v>
      </c>
      <c r="B43" s="2" t="s">
        <v>181</v>
      </c>
      <c r="C43" s="2" t="s">
        <v>163</v>
      </c>
      <c r="D43" s="2" t="s">
        <v>17</v>
      </c>
      <c r="E43" s="2" t="s">
        <v>97</v>
      </c>
      <c r="F43" s="2" t="s">
        <v>182</v>
      </c>
      <c r="G43" s="2">
        <v>8</v>
      </c>
      <c r="H43" s="2">
        <v>8</v>
      </c>
      <c r="I43" s="2">
        <v>9</v>
      </c>
      <c r="J43" s="2" t="s">
        <v>26</v>
      </c>
      <c r="K43" s="2" t="s">
        <v>183</v>
      </c>
      <c r="L43" s="3" t="s">
        <v>227</v>
      </c>
      <c r="M43" s="3"/>
      <c r="N43" s="3"/>
    </row>
    <row r="44" spans="1:14" x14ac:dyDescent="0.2">
      <c r="A44" s="2" t="s">
        <v>184</v>
      </c>
      <c r="B44" s="2" t="s">
        <v>185</v>
      </c>
      <c r="C44" s="2" t="s">
        <v>186</v>
      </c>
      <c r="D44" s="2" t="s">
        <v>17</v>
      </c>
      <c r="E44" s="2" t="s">
        <v>18</v>
      </c>
      <c r="F44" s="2" t="s">
        <v>187</v>
      </c>
      <c r="G44" s="2">
        <v>9</v>
      </c>
      <c r="H44" s="2">
        <v>9</v>
      </c>
      <c r="I44" s="2">
        <v>9</v>
      </c>
      <c r="J44" s="2" t="s">
        <v>20</v>
      </c>
      <c r="K44" s="2" t="s">
        <v>188</v>
      </c>
      <c r="L44" s="3" t="s">
        <v>227</v>
      </c>
      <c r="M44" s="3"/>
      <c r="N44" s="3"/>
    </row>
    <row r="45" spans="1:14" ht="28" x14ac:dyDescent="0.2">
      <c r="A45" s="2" t="s">
        <v>189</v>
      </c>
      <c r="B45" s="2" t="s">
        <v>190</v>
      </c>
      <c r="C45" s="2" t="s">
        <v>186</v>
      </c>
      <c r="D45" s="2" t="s">
        <v>125</v>
      </c>
      <c r="E45" s="2" t="s">
        <v>126</v>
      </c>
      <c r="F45" s="2" t="s">
        <v>127</v>
      </c>
      <c r="G45" s="2">
        <v>9</v>
      </c>
      <c r="H45" s="2">
        <v>9</v>
      </c>
      <c r="I45" s="2">
        <v>9</v>
      </c>
      <c r="J45" s="2" t="s">
        <v>20</v>
      </c>
      <c r="K45" s="2" t="s">
        <v>191</v>
      </c>
      <c r="L45" s="3" t="s">
        <v>227</v>
      </c>
      <c r="M45" s="3"/>
      <c r="N45" s="3"/>
    </row>
    <row r="46" spans="1:14" ht="28" x14ac:dyDescent="0.2">
      <c r="A46" s="2" t="s">
        <v>192</v>
      </c>
      <c r="B46" s="2" t="s">
        <v>193</v>
      </c>
      <c r="C46" s="2" t="s">
        <v>186</v>
      </c>
      <c r="D46" s="2" t="s">
        <v>17</v>
      </c>
      <c r="E46" s="2" t="s">
        <v>194</v>
      </c>
      <c r="F46" s="2" t="s">
        <v>127</v>
      </c>
      <c r="G46" s="2"/>
      <c r="H46" s="2"/>
      <c r="I46" s="2"/>
      <c r="J46" s="2" t="s">
        <v>159</v>
      </c>
      <c r="K46" s="2" t="s">
        <v>195</v>
      </c>
      <c r="L46" s="3" t="s">
        <v>227</v>
      </c>
      <c r="M46" s="3" t="s">
        <v>126</v>
      </c>
      <c r="N46" s="3"/>
    </row>
    <row r="47" spans="1:14" x14ac:dyDescent="0.2">
      <c r="A47" s="2" t="s">
        <v>196</v>
      </c>
      <c r="B47" s="2" t="s">
        <v>197</v>
      </c>
      <c r="C47" s="2" t="s">
        <v>186</v>
      </c>
      <c r="D47" s="2" t="s">
        <v>17</v>
      </c>
      <c r="E47" s="2" t="s">
        <v>18</v>
      </c>
      <c r="F47" s="2" t="s">
        <v>198</v>
      </c>
      <c r="G47" s="2">
        <v>9</v>
      </c>
      <c r="H47" s="2">
        <v>9</v>
      </c>
      <c r="I47" s="2">
        <v>9</v>
      </c>
      <c r="J47" s="2" t="s">
        <v>20</v>
      </c>
      <c r="K47" s="2" t="s">
        <v>199</v>
      </c>
      <c r="L47" s="3" t="s">
        <v>227</v>
      </c>
      <c r="M47" s="3"/>
      <c r="N47" s="3"/>
    </row>
    <row r="48" spans="1:14" x14ac:dyDescent="0.2">
      <c r="A48" s="2" t="s">
        <v>200</v>
      </c>
      <c r="B48" s="2" t="s">
        <v>201</v>
      </c>
      <c r="C48" s="2" t="s">
        <v>186</v>
      </c>
      <c r="D48" s="2" t="s">
        <v>17</v>
      </c>
      <c r="E48" s="2" t="s">
        <v>126</v>
      </c>
      <c r="F48" s="2" t="s">
        <v>127</v>
      </c>
      <c r="G48" s="2">
        <v>9</v>
      </c>
      <c r="H48" s="2">
        <v>9</v>
      </c>
      <c r="I48" s="2">
        <v>9</v>
      </c>
      <c r="J48" s="2" t="s">
        <v>20</v>
      </c>
      <c r="K48" s="2" t="s">
        <v>202</v>
      </c>
      <c r="L48" s="3" t="s">
        <v>227</v>
      </c>
      <c r="M48" s="3"/>
      <c r="N48" s="3"/>
    </row>
    <row r="49" spans="1:14" ht="28" x14ac:dyDescent="0.2">
      <c r="A49" s="2" t="s">
        <v>203</v>
      </c>
      <c r="B49" s="2" t="s">
        <v>204</v>
      </c>
      <c r="C49" s="2" t="s">
        <v>186</v>
      </c>
      <c r="D49" s="2" t="s">
        <v>17</v>
      </c>
      <c r="E49" s="2" t="s">
        <v>24</v>
      </c>
      <c r="F49" s="2" t="s">
        <v>25</v>
      </c>
      <c r="G49" s="2">
        <v>8</v>
      </c>
      <c r="H49" s="2">
        <v>7</v>
      </c>
      <c r="I49" s="2">
        <v>8</v>
      </c>
      <c r="J49" s="2" t="s">
        <v>26</v>
      </c>
      <c r="K49" s="2" t="s">
        <v>205</v>
      </c>
      <c r="L49" s="3" t="s">
        <v>227</v>
      </c>
      <c r="M49" s="3"/>
      <c r="N49" s="3"/>
    </row>
    <row r="50" spans="1:14" x14ac:dyDescent="0.2">
      <c r="A50" s="2" t="s">
        <v>206</v>
      </c>
      <c r="B50" s="2" t="s">
        <v>207</v>
      </c>
      <c r="C50" s="2" t="s">
        <v>186</v>
      </c>
      <c r="D50" s="2" t="s">
        <v>17</v>
      </c>
      <c r="E50" s="2" t="s">
        <v>24</v>
      </c>
      <c r="F50" s="2" t="s">
        <v>208</v>
      </c>
      <c r="G50" s="2">
        <v>3</v>
      </c>
      <c r="H50" s="2">
        <v>2</v>
      </c>
      <c r="I50" s="2">
        <v>4</v>
      </c>
      <c r="J50" s="2" t="s">
        <v>20</v>
      </c>
      <c r="K50" s="2" t="s">
        <v>209</v>
      </c>
      <c r="L50" s="3" t="s">
        <v>227</v>
      </c>
      <c r="M50" s="3"/>
      <c r="N50" s="3"/>
    </row>
    <row r="51" spans="1:14" ht="28" x14ac:dyDescent="0.2">
      <c r="A51" s="2" t="s">
        <v>210</v>
      </c>
      <c r="B51" s="2" t="s">
        <v>211</v>
      </c>
      <c r="C51" s="2" t="s">
        <v>186</v>
      </c>
      <c r="D51" s="2" t="s">
        <v>17</v>
      </c>
      <c r="E51" s="2" t="s">
        <v>212</v>
      </c>
      <c r="F51" s="2" t="s">
        <v>127</v>
      </c>
      <c r="G51" s="2"/>
      <c r="H51" s="2"/>
      <c r="I51" s="2"/>
      <c r="J51" s="2" t="s">
        <v>20</v>
      </c>
      <c r="K51" s="2" t="s">
        <v>213</v>
      </c>
      <c r="L51" s="3" t="s">
        <v>227</v>
      </c>
      <c r="M51" s="3" t="s">
        <v>126</v>
      </c>
      <c r="N51" s="3"/>
    </row>
    <row r="52" spans="1:14" x14ac:dyDescent="0.2">
      <c r="A52" s="2" t="s">
        <v>214</v>
      </c>
      <c r="B52" s="2" t="s">
        <v>215</v>
      </c>
      <c r="C52" s="2" t="s">
        <v>186</v>
      </c>
      <c r="D52" s="2" t="s">
        <v>125</v>
      </c>
      <c r="E52" s="2" t="s">
        <v>18</v>
      </c>
      <c r="F52" s="2" t="s">
        <v>216</v>
      </c>
      <c r="G52" s="2">
        <v>9</v>
      </c>
      <c r="H52" s="2">
        <v>9</v>
      </c>
      <c r="I52" s="2">
        <v>9</v>
      </c>
      <c r="J52" s="2" t="s">
        <v>20</v>
      </c>
      <c r="K52" s="2" t="s">
        <v>217</v>
      </c>
      <c r="L52" s="3" t="s">
        <v>227</v>
      </c>
      <c r="M52" s="3"/>
      <c r="N52" s="3"/>
    </row>
  </sheetData>
  <autoFilter ref="A1:N52" xr:uid="{00000000-0009-0000-0000-000000000000}"/>
  <dataValidations count="2">
    <dataValidation type="list" allowBlank="1" sqref="L2:L52" xr:uid="{00000000-0002-0000-0000-000000000000}">
      <formula1>"Y,N,?"</formula1>
    </dataValidation>
    <dataValidation type="list" allowBlank="1" sqref="M2:M52" xr:uid="{00000000-0002-0000-0000-000001000000}">
      <formula1>"in-practice,pre-practice,retire,split,borderline"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baseColWidth="10" defaultColWidth="8.83203125" defaultRowHeight="15" x14ac:dyDescent="0.2"/>
  <cols>
    <col min="1" max="1" width="30" customWidth="1"/>
    <col min="2" max="4" width="18" customWidth="1"/>
  </cols>
  <sheetData>
    <row r="1" spans="1:4" x14ac:dyDescent="0.2">
      <c r="A1" s="4" t="s">
        <v>218</v>
      </c>
      <c r="B1" s="4" t="s">
        <v>219</v>
      </c>
      <c r="C1" s="4" t="s">
        <v>220</v>
      </c>
      <c r="D1" s="4" t="s">
        <v>221</v>
      </c>
    </row>
    <row r="2" spans="1:4" x14ac:dyDescent="0.2">
      <c r="A2" s="5" t="s">
        <v>18</v>
      </c>
      <c r="B2" s="5">
        <f>COUNTIF(Sort!$E$2:$E$52,A2)</f>
        <v>18</v>
      </c>
      <c r="C2" s="5">
        <f>COUNTIFS(Sort!$E$2:$E$52,A2,Sort!$L$2:$L$52,"Y")</f>
        <v>18</v>
      </c>
      <c r="D2" s="5">
        <f>COUNTIFS(Sort!$E$2:$E$52,A2,Sort!$L$2:$L$52,"N")</f>
        <v>0</v>
      </c>
    </row>
    <row r="3" spans="1:4" x14ac:dyDescent="0.2">
      <c r="A3" s="5" t="s">
        <v>38</v>
      </c>
      <c r="B3" s="5">
        <f>COUNTIF(Sort!$E$2:$E$52,A3)</f>
        <v>2</v>
      </c>
      <c r="C3" s="5">
        <f>COUNTIFS(Sort!$E$2:$E$52,A3,Sort!$L$2:$L$52,"Y")</f>
        <v>2</v>
      </c>
      <c r="D3" s="5">
        <f>COUNTIFS(Sort!$E$2:$E$52,A3,Sort!$L$2:$L$52,"N")</f>
        <v>0</v>
      </c>
    </row>
    <row r="4" spans="1:4" x14ac:dyDescent="0.2">
      <c r="A4" s="5" t="s">
        <v>149</v>
      </c>
      <c r="B4" s="5">
        <f>COUNTIF(Sort!$E$2:$E$52,A4)</f>
        <v>1</v>
      </c>
      <c r="C4" s="5">
        <f>COUNTIFS(Sort!$E$2:$E$52,A4,Sort!$L$2:$L$52,"Y")</f>
        <v>1</v>
      </c>
      <c r="D4" s="5">
        <f>COUNTIFS(Sort!$E$2:$E$52,A4,Sort!$L$2:$L$52,"N")</f>
        <v>0</v>
      </c>
    </row>
    <row r="5" spans="1:4" x14ac:dyDescent="0.2">
      <c r="A5" s="5" t="s">
        <v>24</v>
      </c>
      <c r="B5" s="5">
        <f>COUNTIF(Sort!$E$2:$E$52,A5)</f>
        <v>20</v>
      </c>
      <c r="C5" s="5">
        <f>COUNTIFS(Sort!$E$2:$E$52,A5,Sort!$L$2:$L$52,"Y")</f>
        <v>20</v>
      </c>
      <c r="D5" s="5">
        <f>COUNTIFS(Sort!$E$2:$E$52,A5,Sort!$L$2:$L$52,"N")</f>
        <v>0</v>
      </c>
    </row>
    <row r="6" spans="1:4" x14ac:dyDescent="0.2">
      <c r="A6" s="5" t="s">
        <v>97</v>
      </c>
      <c r="B6" s="5">
        <f>COUNTIF(Sort!$E$2:$E$52,A6)</f>
        <v>4</v>
      </c>
      <c r="C6" s="5">
        <f>COUNTIFS(Sort!$E$2:$E$52,A6,Sort!$L$2:$L$52,"Y")</f>
        <v>4</v>
      </c>
      <c r="D6" s="5">
        <f>COUNTIFS(Sort!$E$2:$E$52,A6,Sort!$L$2:$L$52,"N")</f>
        <v>0</v>
      </c>
    </row>
    <row r="7" spans="1:4" x14ac:dyDescent="0.2">
      <c r="A7" s="5" t="s">
        <v>112</v>
      </c>
      <c r="B7" s="5">
        <f>COUNTIF(Sort!$E$2:$E$52,A7)</f>
        <v>1</v>
      </c>
      <c r="C7" s="5">
        <f>COUNTIFS(Sort!$E$2:$E$52,A7,Sort!$L$2:$L$52,"Y")</f>
        <v>1</v>
      </c>
      <c r="D7" s="5">
        <f>COUNTIFS(Sort!$E$2:$E$52,A7,Sort!$L$2:$L$52,"N")</f>
        <v>0</v>
      </c>
    </row>
    <row r="8" spans="1:4" x14ac:dyDescent="0.2">
      <c r="A8" s="5" t="s">
        <v>126</v>
      </c>
      <c r="B8" s="5">
        <f>COUNTIF(Sort!$E$2:$E$52,A8)</f>
        <v>3</v>
      </c>
      <c r="C8" s="5">
        <f>COUNTIFS(Sort!$E$2:$E$52,A8,Sort!$L$2:$L$52,"Y")</f>
        <v>3</v>
      </c>
      <c r="D8" s="5">
        <f>COUNTIFS(Sort!$E$2:$E$52,A8,Sort!$L$2:$L$52,"N")</f>
        <v>0</v>
      </c>
    </row>
    <row r="9" spans="1:4" x14ac:dyDescent="0.2">
      <c r="A9" s="5" t="s">
        <v>194</v>
      </c>
      <c r="B9" s="5">
        <f>COUNTIF(Sort!$E$2:$E$52,A9)</f>
        <v>1</v>
      </c>
      <c r="C9" s="5">
        <f>COUNTIFS(Sort!$E$2:$E$52,A9,Sort!$L$2:$L$52,"Y")</f>
        <v>1</v>
      </c>
      <c r="D9" s="5">
        <f>COUNTIFS(Sort!$E$2:$E$52,A9,Sort!$L$2:$L$52,"N")</f>
        <v>0</v>
      </c>
    </row>
    <row r="10" spans="1:4" x14ac:dyDescent="0.2">
      <c r="A10" s="5" t="s">
        <v>212</v>
      </c>
      <c r="B10" s="5">
        <f>COUNTIF(Sort!$E$2:$E$52,A10)</f>
        <v>1</v>
      </c>
      <c r="C10" s="5">
        <f>COUNTIFS(Sort!$E$2:$E$52,A10,Sort!$L$2:$L$52,"Y")</f>
        <v>1</v>
      </c>
      <c r="D10" s="5">
        <f>COUNTIFS(Sort!$E$2:$E$52,A10,Sort!$L$2:$L$52,"N")</f>
        <v>0</v>
      </c>
    </row>
    <row r="11" spans="1:4" x14ac:dyDescent="0.2">
      <c r="A11" s="5" t="s">
        <v>222</v>
      </c>
      <c r="B11" s="5">
        <f>SUM(B2:B10)</f>
        <v>51</v>
      </c>
      <c r="C11" s="5"/>
      <c r="D11" s="5"/>
    </row>
    <row r="12" spans="1:4" x14ac:dyDescent="0.2">
      <c r="A12" s="5"/>
      <c r="B12" s="5"/>
      <c r="C12" s="5"/>
      <c r="D12" s="5"/>
    </row>
    <row r="13" spans="1:4" x14ac:dyDescent="0.2">
      <c r="A13" s="6" t="s">
        <v>223</v>
      </c>
      <c r="B13" s="5"/>
      <c r="C13" s="5"/>
      <c r="D13" s="5"/>
    </row>
    <row r="14" spans="1:4" x14ac:dyDescent="0.2">
      <c r="A14" s="5" t="s">
        <v>224</v>
      </c>
      <c r="B14" s="5"/>
      <c r="C14" s="5"/>
      <c r="D14" s="5"/>
    </row>
    <row r="15" spans="1:4" x14ac:dyDescent="0.2">
      <c r="A15" s="5" t="s">
        <v>225</v>
      </c>
      <c r="B15" s="5"/>
      <c r="C15" s="5"/>
      <c r="D15" s="5"/>
    </row>
    <row r="16" spans="1:4" x14ac:dyDescent="0.2">
      <c r="A16" s="5" t="s">
        <v>226</v>
      </c>
      <c r="B16" s="5"/>
      <c r="C16" s="5"/>
      <c r="D1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Dooley</cp:lastModifiedBy>
  <dcterms:created xsi:type="dcterms:W3CDTF">2026-09-24T02:09:59Z</dcterms:created>
  <dcterms:modified xsi:type="dcterms:W3CDTF">2026-09-24T23:21:50Z</dcterms:modified>
</cp:coreProperties>
</file>